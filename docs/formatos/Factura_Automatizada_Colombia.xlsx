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Mario Andrés Tirado\Downloads\"/>
    </mc:Choice>
  </mc:AlternateContent>
  <xr:revisionPtr revIDLastSave="0" documentId="13_ncr:1_{FAE76146-9A77-4468-8ED3-A181156D876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actura" sheetId="1" r:id="rId1"/>
    <sheet name="Hoja1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1" l="1"/>
  <c r="D17" i="1"/>
  <c r="D19" i="1"/>
  <c r="D20" i="1"/>
  <c r="D22" i="1"/>
  <c r="F22" i="1"/>
  <c r="F17" i="1"/>
  <c r="F18" i="1"/>
  <c r="F19" i="1"/>
  <c r="F20" i="1"/>
  <c r="K3" i="1"/>
  <c r="I2" i="1"/>
  <c r="G18" i="1" l="1"/>
  <c r="I18" i="1" s="1"/>
  <c r="G17" i="1"/>
  <c r="G22" i="1"/>
  <c r="I22" i="1" s="1"/>
  <c r="J22" i="1" s="1"/>
  <c r="G20" i="1"/>
  <c r="I20" i="1" s="1"/>
  <c r="J20" i="1" s="1"/>
  <c r="G19" i="1"/>
  <c r="I19" i="1" s="1"/>
  <c r="F25" i="1"/>
  <c r="I17" i="1" l="1"/>
  <c r="J18" i="1"/>
  <c r="J19" i="1"/>
  <c r="F27" i="1"/>
  <c r="F24" i="1"/>
  <c r="F28" i="1"/>
  <c r="F26" i="1"/>
  <c r="F29" i="1" l="1" a="1"/>
  <c r="F29" i="1" s="1"/>
  <c r="F30" i="1" a="1"/>
  <c r="F30" i="1" s="1"/>
  <c r="J17" i="1"/>
  <c r="F3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<sst xmlns="http://schemas.openxmlformats.org/spreadsheetml/2006/main" count="71" uniqueCount="66">
  <si>
    <t>FACTURA DE VENTA</t>
  </si>
  <si>
    <t>FACTURA No.</t>
  </si>
  <si>
    <t>FECHA DE EMISIÓN:</t>
  </si>
  <si>
    <t>25/05/2025</t>
  </si>
  <si>
    <t>FECHA VENCIMIENTO:</t>
  </si>
  <si>
    <t>DATOS DEL EMISOR (PROVEEDOR)</t>
  </si>
  <si>
    <t>RAZÓN SOCIAL:</t>
  </si>
  <si>
    <t>NIT:</t>
  </si>
  <si>
    <t>DIRECCIÓN:</t>
  </si>
  <si>
    <t>CIUDAD/DEPTO:</t>
  </si>
  <si>
    <t>TELÉFONO:</t>
  </si>
  <si>
    <t>EMAIL:</t>
  </si>
  <si>
    <t>RÉGIMEN TRIBUTARIO:</t>
  </si>
  <si>
    <t>ACTIVIDAD ECONÓMICA:</t>
  </si>
  <si>
    <t>RESOLUCIÓN DIAN:</t>
  </si>
  <si>
    <t>DATOS DEL CLIENTE</t>
  </si>
  <si>
    <t>RAZÓN SOCIAL/NOMBRE:</t>
  </si>
  <si>
    <t>NIT/CC:</t>
  </si>
  <si>
    <t>DETALLE DE PRODUCTOS/SERVICIOS</t>
  </si>
  <si>
    <t>CÓDIGO</t>
  </si>
  <si>
    <t>DESCRIPCIÓN</t>
  </si>
  <si>
    <t>CANTIDAD</t>
  </si>
  <si>
    <t>VALOR UNITARIO</t>
  </si>
  <si>
    <t>DESCUENTO (%)</t>
  </si>
  <si>
    <t>VALOR DESCUENTO</t>
  </si>
  <si>
    <t>SUBTOTAL</t>
  </si>
  <si>
    <t>IVA (%)</t>
  </si>
  <si>
    <t>VALOR IVA</t>
  </si>
  <si>
    <t>TOTAL</t>
  </si>
  <si>
    <t>SUBTOTAL ANTES DE IMPUESTOS:</t>
  </si>
  <si>
    <t>TOTAL DESCUENTOS:</t>
  </si>
  <si>
    <t>BASE GRAVABLE IVA 0%:</t>
  </si>
  <si>
    <t>BASE GRAVABLE IVA 5%:</t>
  </si>
  <si>
    <t>BASE GRAVABLE IVA 19%:</t>
  </si>
  <si>
    <t>VALOR IVA 5%:</t>
  </si>
  <si>
    <t>VALOR IVA 19%:</t>
  </si>
  <si>
    <t>RETENCIÓN EN LA FUENTE:</t>
  </si>
  <si>
    <t>RETENCIÓN IVA:</t>
  </si>
  <si>
    <t>TOTAL A PAGAR:</t>
  </si>
  <si>
    <t>INFORMACIÓN ADICIONAL</t>
  </si>
  <si>
    <t>FORMA DE PAGO:</t>
  </si>
  <si>
    <t>OBSERVACIONES:</t>
  </si>
  <si>
    <t>CUFE:</t>
  </si>
  <si>
    <t>ESTA FACTURA DE VENTA ES UN TÍTULO VALOR SEGÚN EL ART. 774 DEL CÓDIGO DE COMERCIO. NO SE ACEPTAN DEVOLUCIONES DESPUÉS DE 8 DÍAS CALENDARIO DE RECIBIDA LA MERCANCÍA.</t>
  </si>
  <si>
    <t>BANDERAS</t>
  </si>
  <si>
    <t>CABEZAS</t>
  </si>
  <si>
    <t>CARRITO ROJO 6X2</t>
  </si>
  <si>
    <t>FICHAS AMARILLAS 3X2</t>
  </si>
  <si>
    <t xml:space="preserve"> </t>
  </si>
  <si>
    <t>FICHAS AMARILLAS 4X1</t>
  </si>
  <si>
    <t>FICHAS ROJAS 2X2</t>
  </si>
  <si>
    <t>FICHAS ROJAS 4X1</t>
  </si>
  <si>
    <t>FICHAS VERDES 2X1</t>
  </si>
  <si>
    <t>FICHAS VERDES 2X2</t>
  </si>
  <si>
    <t>FICHAS VERDES 4X1</t>
  </si>
  <si>
    <t>ROJO BASE</t>
  </si>
  <si>
    <t>ROJO TECHO 3X2</t>
  </si>
  <si>
    <t>MATERIAL/PRODUCTO</t>
  </si>
  <si>
    <t>CODIGO</t>
  </si>
  <si>
    <t>VALRO UND</t>
  </si>
  <si>
    <t>CARRITO AMARILLO 2X2</t>
  </si>
  <si>
    <t>CARRITO AMARILLO 6X2</t>
  </si>
  <si>
    <t>CARRITO VERDE 6X2</t>
  </si>
  <si>
    <t>AMARILLO BASE</t>
  </si>
  <si>
    <t>AMARILLO TECHO 2X2</t>
  </si>
  <si>
    <t>NO 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</si>
</sst>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\ #,##0;[Red]\-&quot;$&quot;\ #,##0"/>
    <numFmt numFmtId="164" formatCode="_(\$* #,##0.00_);_(\$* \(#,##0.00\);_(\$* &quot;-&quot;??_);_(@_)"/>
  </numFmts>
  <fonts count="8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8"/>
      <color rgb="FFFFFFFF"/>
      <name val="Calibri"/>
    </font>
    <font>
      <b/>
      <sz val="11"/>
      <name val="Calibri"/>
    </font>
    <font>
      <b/>
      <sz val="11"/>
      <color rgb="FFFFFFFF"/>
      <name val="Calibri"/>
    </font>
    <font>
      <i/>
      <sz val="8"/>
      <name val="Calibri"/>
    </font>
    <font>
      <sz val="11"/>
      <color theme="1"/>
      <name val="Calibri"/>
      <family val="2"/>
      <scheme val="minor"/>
    </font>
    <font>
      <sz val="11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1F497D"/>
        <bgColor rgb="FF1F497D"/>
      </patternFill>
    </fill>
    <fill>
      <patternFill patternType="solid">
        <fgColor rgb="FFC5D9F1"/>
        <bgColor rgb="FFC5D9F1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0"/>
        <bgColor rgb="FFD9D9D9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0" fontId="6" fillId="5" borderId="0" applyNumberFormat="0" applyBorder="0" applyAlignment="0" applyProtection="0"/>
  </cellStyleXfs>
  <cellXfs count="29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right" vertical="center"/>
    </xf>
    <xf numFmtId="0" fontId="4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 wrapText="1"/>
    </xf>
    <xf numFmtId="164" fontId="1" fillId="4" borderId="0" xfId="0" applyNumberFormat="1" applyFont="1" applyFill="1" applyAlignment="1">
      <alignment horizontal="right" vertical="center"/>
    </xf>
    <xf numFmtId="0" fontId="0" fillId="0" borderId="6" xfId="0" applyBorder="1"/>
    <xf numFmtId="0" fontId="0" fillId="0" borderId="4" xfId="0" applyBorder="1"/>
    <xf numFmtId="0" fontId="6" fillId="5" borderId="1" xfId="1" applyBorder="1" applyAlignment="1">
      <alignment vertical="center" wrapText="1"/>
    </xf>
    <xf numFmtId="0" fontId="6" fillId="5" borderId="2" xfId="1" applyBorder="1" applyAlignment="1">
      <alignment vertical="center"/>
    </xf>
    <xf numFmtId="6" fontId="6" fillId="5" borderId="3" xfId="1" applyNumberFormat="1" applyBorder="1" applyAlignment="1">
      <alignment vertical="center"/>
    </xf>
    <xf numFmtId="0" fontId="0" fillId="0" borderId="5" xfId="0" applyBorder="1"/>
    <xf numFmtId="0" fontId="6" fillId="5" borderId="7" xfId="1" applyBorder="1" applyAlignment="1">
      <alignment vertical="center"/>
    </xf>
    <xf numFmtId="0" fontId="6" fillId="5" borderId="8" xfId="1" applyBorder="1" applyAlignment="1">
      <alignment vertical="center" wrapText="1"/>
    </xf>
    <xf numFmtId="6" fontId="6" fillId="5" borderId="9" xfId="1" applyNumberFormat="1" applyBorder="1" applyAlignment="1">
      <alignment vertical="center"/>
    </xf>
    <xf numFmtId="0" fontId="7" fillId="0" borderId="1" xfId="0" applyFont="1" applyBorder="1" applyAlignment="1">
      <alignment horizontal="left"/>
    </xf>
    <xf numFmtId="0" fontId="1" fillId="6" borderId="0" xfId="0" applyFont="1" applyFill="1" applyAlignment="1">
      <alignment horizontal="center" vertical="center"/>
    </xf>
    <xf numFmtId="0" fontId="0" fillId="7" borderId="0" xfId="0" applyFill="1"/>
  </cellXfs>
  <cellStyles count="2">
    <cellStyle name="40% - Énfasis1" xfId="1" builtinId="31"/>
    <cellStyle name="Normal" xfId="0" builtinId="0"/>
  </cellStyles>
  <dxfs count="7">
    <dxf>
      <border diagonalUp="0" diagonalDown="0">
        <left style="thin">
          <color auto="1"/>
        </left>
        <right style="thin">
          <color auto="1"/>
        </right>
        <vertical style="thin">
          <color auto="1"/>
        </vertical>
      </border>
    </dxf>
    <dxf>
      <numFmt numFmtId="10" formatCode="&quot;$&quot;\ #,##0;[Red]\-&quot;$&quot;\ #,##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E76CA5F-1867-457A-BEC3-006FF3A82BB6}" name="Tabla4" displayName="Tabla4" ref="A1:C18" totalsRowShown="0" headerRowDxfId="0" headerRowBorderDxfId="6" tableBorderDxfId="4" totalsRowBorderDxfId="5">
  <autoFilter ref="A1:C18" xr:uid="{0E76CA5F-1867-457A-BEC3-006FF3A82BB6}"/>
  <tableColumns count="3">
    <tableColumn id="1" xr3:uid="{4900C6D2-EDC7-4F7F-A25F-7733240226CD}" name="MATERIAL/PRODUCTO" dataDxfId="3" dataCellStyle="40% - Énfasis1"/>
    <tableColumn id="2" xr3:uid="{866AF28B-D83F-40A3-ABDA-1992E402D9BA}" name="CODIGO" dataDxfId="2" dataCellStyle="40% - Énfasis1"/>
    <tableColumn id="3" xr3:uid="{9D01F878-5464-45C1-8B75-0F40A3E04731}" name="VALRO UND" dataDxfId="1" dataCellStyle="40% - Énfasis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8"/>
  <sheetViews>
    <sheetView tabSelected="1" workbookViewId="0">
      <selection activeCell="A7" sqref="A7:B7"/>
    </sheetView>
  </sheetViews>
  <sheetFormatPr baseColWidth="10" defaultColWidth="8.7265625" defaultRowHeight="14.5" x14ac:dyDescent="0.35"/>
  <cols>
    <col min="1" max="1" width="9.90625" customWidth="1"/>
    <col min="2" max="2" width="39.90625" customWidth="1"/>
    <col min="3" max="11" width="14.90625" customWidth="1"/>
  </cols>
  <sheetData>
    <row r="1" spans="1:11" ht="15.5" x14ac:dyDescent="0.35">
      <c r="A1" s="27" t="e" vm="1">
        <v>#VALUE!</v>
      </c>
      <c r="B1" s="28"/>
      <c r="C1" s="28"/>
      <c r="D1" s="12" t="s">
        <v>0</v>
      </c>
      <c r="E1" s="5"/>
      <c r="F1" s="5"/>
      <c r="G1" s="5"/>
      <c r="H1" s="5"/>
      <c r="I1" s="10" t="s">
        <v>1</v>
      </c>
      <c r="J1" s="5"/>
      <c r="K1" s="5"/>
    </row>
    <row r="2" spans="1:11" ht="15.5" x14ac:dyDescent="0.35">
      <c r="A2" s="28"/>
      <c r="B2" s="28"/>
      <c r="C2" s="28"/>
      <c r="D2" s="5"/>
      <c r="E2" s="5"/>
      <c r="F2" s="5"/>
      <c r="G2" s="5"/>
      <c r="H2" s="5"/>
      <c r="I2" s="4" t="str">
        <f>CONCATENATE("FV-", TEXT(ROW(A1),"000"))</f>
        <v>FV-001</v>
      </c>
      <c r="J2" s="5"/>
      <c r="K2" s="5"/>
    </row>
    <row r="3" spans="1:11" x14ac:dyDescent="0.35">
      <c r="A3" s="28"/>
      <c r="B3" s="28"/>
      <c r="C3" s="28"/>
      <c r="D3" s="6" t="s">
        <v>2</v>
      </c>
      <c r="E3" s="5"/>
      <c r="F3" s="7" t="s">
        <v>3</v>
      </c>
      <c r="G3" s="5"/>
      <c r="H3" s="5"/>
      <c r="I3" s="6" t="s">
        <v>4</v>
      </c>
      <c r="J3" s="5"/>
      <c r="K3" s="7" t="str">
        <f ca="1">TEXT(TODAY()+30,"DD/MM/YYYY")</f>
        <v>04/07/2025</v>
      </c>
    </row>
    <row r="4" spans="1:11" x14ac:dyDescent="0.35">
      <c r="A4" s="28"/>
      <c r="B4" s="28"/>
      <c r="C4" s="28"/>
    </row>
    <row r="5" spans="1:11" x14ac:dyDescent="0.35">
      <c r="A5" s="9" t="s">
        <v>5</v>
      </c>
      <c r="B5" s="5"/>
      <c r="C5" s="5"/>
      <c r="D5" s="5"/>
      <c r="E5" s="5"/>
      <c r="F5" s="5"/>
      <c r="G5" s="5"/>
      <c r="H5" s="5"/>
      <c r="I5" s="5"/>
      <c r="J5" s="5"/>
      <c r="K5" s="5"/>
    </row>
    <row r="6" spans="1:11" x14ac:dyDescent="0.35">
      <c r="A6" s="6" t="s">
        <v>6</v>
      </c>
      <c r="B6" s="5"/>
      <c r="C6" s="7"/>
      <c r="D6" s="5"/>
      <c r="E6" s="5"/>
      <c r="F6" s="5"/>
      <c r="G6" s="6" t="s">
        <v>7</v>
      </c>
      <c r="H6" s="5"/>
      <c r="I6" s="7"/>
      <c r="J6" s="5"/>
      <c r="K6" s="5"/>
    </row>
    <row r="7" spans="1:11" x14ac:dyDescent="0.35">
      <c r="A7" s="6" t="s">
        <v>8</v>
      </c>
      <c r="B7" s="5"/>
      <c r="C7" s="7"/>
      <c r="D7" s="5"/>
      <c r="E7" s="5"/>
      <c r="F7" s="5"/>
      <c r="G7" s="6" t="s">
        <v>9</v>
      </c>
      <c r="H7" s="5"/>
      <c r="I7" s="7"/>
      <c r="J7" s="5"/>
      <c r="K7" s="5"/>
    </row>
    <row r="8" spans="1:11" x14ac:dyDescent="0.35">
      <c r="A8" s="6" t="s">
        <v>10</v>
      </c>
      <c r="B8" s="5"/>
      <c r="C8" s="7"/>
      <c r="D8" s="5"/>
      <c r="E8" s="5"/>
      <c r="F8" s="5"/>
      <c r="G8" s="6" t="s">
        <v>11</v>
      </c>
      <c r="H8" s="5"/>
      <c r="I8" s="7"/>
      <c r="J8" s="5"/>
      <c r="K8" s="5"/>
    </row>
    <row r="9" spans="1:11" x14ac:dyDescent="0.35">
      <c r="A9" s="6" t="s">
        <v>12</v>
      </c>
      <c r="B9" s="5"/>
      <c r="C9" s="7"/>
      <c r="D9" s="5"/>
      <c r="E9" s="5"/>
      <c r="F9" s="5"/>
      <c r="G9" s="6" t="s">
        <v>13</v>
      </c>
      <c r="H9" s="5"/>
      <c r="I9" s="7"/>
      <c r="J9" s="5"/>
      <c r="K9" s="5"/>
    </row>
    <row r="10" spans="1:11" x14ac:dyDescent="0.35">
      <c r="A10" s="6" t="s">
        <v>14</v>
      </c>
      <c r="B10" s="5"/>
      <c r="C10" s="7"/>
      <c r="D10" s="5"/>
      <c r="E10" s="5"/>
      <c r="F10" s="5"/>
      <c r="G10" s="5"/>
      <c r="H10" s="5"/>
      <c r="I10" s="5"/>
      <c r="J10" s="5"/>
      <c r="K10" s="5"/>
    </row>
    <row r="11" spans="1:11" x14ac:dyDescent="0.35">
      <c r="A11" s="9" t="s">
        <v>15</v>
      </c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1:11" x14ac:dyDescent="0.35">
      <c r="A12" s="6" t="s">
        <v>16</v>
      </c>
      <c r="B12" s="5"/>
      <c r="C12" s="7"/>
      <c r="D12" s="5"/>
      <c r="E12" s="5"/>
      <c r="F12" s="5"/>
      <c r="G12" s="6" t="s">
        <v>17</v>
      </c>
      <c r="H12" s="5"/>
      <c r="I12" s="7"/>
      <c r="J12" s="5"/>
      <c r="K12" s="5"/>
    </row>
    <row r="13" spans="1:11" x14ac:dyDescent="0.35">
      <c r="A13" s="6" t="s">
        <v>8</v>
      </c>
      <c r="B13" s="5"/>
      <c r="C13" s="7"/>
      <c r="D13" s="5"/>
      <c r="E13" s="5"/>
      <c r="F13" s="5"/>
      <c r="G13" s="6" t="s">
        <v>9</v>
      </c>
      <c r="H13" s="5"/>
      <c r="I13" s="7"/>
      <c r="J13" s="5"/>
      <c r="K13" s="5"/>
    </row>
    <row r="14" spans="1:11" x14ac:dyDescent="0.35">
      <c r="A14" s="6" t="s">
        <v>10</v>
      </c>
      <c r="B14" s="5"/>
      <c r="C14" s="7"/>
      <c r="D14" s="5"/>
      <c r="E14" s="5"/>
      <c r="F14" s="5"/>
      <c r="G14" s="6" t="s">
        <v>11</v>
      </c>
      <c r="H14" s="5"/>
      <c r="I14" s="7"/>
      <c r="J14" s="5"/>
      <c r="K14" s="5"/>
    </row>
    <row r="15" spans="1:11" x14ac:dyDescent="0.35">
      <c r="A15" s="9" t="s">
        <v>18</v>
      </c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 x14ac:dyDescent="0.35">
      <c r="A16" s="1" t="s">
        <v>19</v>
      </c>
      <c r="B16" s="1" t="s">
        <v>20</v>
      </c>
      <c r="C16" s="1" t="s">
        <v>21</v>
      </c>
      <c r="D16" s="1" t="s">
        <v>22</v>
      </c>
      <c r="E16" s="1" t="s">
        <v>23</v>
      </c>
      <c r="F16" s="1" t="s">
        <v>24</v>
      </c>
      <c r="G16" s="1" t="s">
        <v>25</v>
      </c>
      <c r="H16" s="1" t="s">
        <v>26</v>
      </c>
      <c r="I16" s="1" t="s">
        <v>27</v>
      </c>
      <c r="J16" s="1" t="s">
        <v>28</v>
      </c>
    </row>
    <row r="17" spans="1:11" x14ac:dyDescent="0.35">
      <c r="A17" s="2"/>
      <c r="B17" s="26"/>
      <c r="C17" s="2"/>
      <c r="D17" s="3" t="str">
        <f>IFERROR(VLOOKUP(B17,Hoja1!$A$1:$C$18,3,FALSE),"")</f>
        <v/>
      </c>
      <c r="E17" s="2"/>
      <c r="F17" s="3">
        <f>IF(E17&gt;0,D17*C17*E17/100,0)</f>
        <v>0</v>
      </c>
      <c r="G17" s="3" t="str">
        <f>IF(OR(D17="",C17="",F17=""),"",IF(D17*C17-F17&gt;=0,D17*C17-F17,""))</f>
        <v/>
      </c>
      <c r="H17" s="2"/>
      <c r="I17" s="3" t="str">
        <f t="shared" ref="I17:I22" si="0">IF(OR(G17="", H17=""), "", G17*H17/100)</f>
        <v/>
      </c>
      <c r="J17" s="3" t="str">
        <f t="shared" ref="J17:J22" si="1">IF(OR(G17="", I17=""), "", G17+I17)</f>
        <v/>
      </c>
    </row>
    <row r="18" spans="1:11" x14ac:dyDescent="0.35">
      <c r="A18" s="2"/>
      <c r="B18" s="26"/>
      <c r="C18" s="2"/>
      <c r="D18" s="3" t="str">
        <f>IFERROR(VLOOKUP(B18,Hoja1!$A$1:$C$18,3,FALSE),"")</f>
        <v/>
      </c>
      <c r="E18" s="2"/>
      <c r="F18" s="3">
        <f>IF(E18&gt;0,D18*C18*E18/100,0)</f>
        <v>0</v>
      </c>
      <c r="G18" s="3" t="str">
        <f>IF(OR(D18="",C18="",F18=""),"",IF(D18*C18-F18&gt;=0,D18*C18-F18,""))</f>
        <v/>
      </c>
      <c r="H18" s="2"/>
      <c r="I18" s="3" t="str">
        <f t="shared" si="0"/>
        <v/>
      </c>
      <c r="J18" s="3" t="str">
        <f t="shared" si="1"/>
        <v/>
      </c>
    </row>
    <row r="19" spans="1:11" x14ac:dyDescent="0.35">
      <c r="A19" s="2"/>
      <c r="B19" s="26"/>
      <c r="C19" s="2"/>
      <c r="D19" s="3" t="str">
        <f>IFERROR(VLOOKUP(B19,Hoja1!$A$1:$C$18,3,FALSE),"")</f>
        <v/>
      </c>
      <c r="E19" s="2"/>
      <c r="F19" s="3">
        <f>IF(E19&gt;0,D19*C19*E19/100,0)</f>
        <v>0</v>
      </c>
      <c r="G19" s="3" t="str">
        <f>IF(OR(D19="",C19="",F19=""),"",IF(D19*C19-F19&gt;=0,D19*C19-F19,""))</f>
        <v/>
      </c>
      <c r="H19" s="2"/>
      <c r="I19" s="3" t="str">
        <f t="shared" si="0"/>
        <v/>
      </c>
      <c r="J19" s="3" t="str">
        <f>IF(OR(G19="", I19=""), "", G19+I19)</f>
        <v/>
      </c>
    </row>
    <row r="20" spans="1:11" x14ac:dyDescent="0.35">
      <c r="A20" s="2"/>
      <c r="B20" s="26"/>
      <c r="C20" s="2"/>
      <c r="D20" s="3" t="str">
        <f>IFERROR(VLOOKUP(B20,Hoja1!$A$1:$C$18,3,FALSE),"")</f>
        <v/>
      </c>
      <c r="E20" s="2"/>
      <c r="F20" s="3">
        <f>IF(E20&gt;0,D20*C20*E20/100,0)</f>
        <v>0</v>
      </c>
      <c r="G20" s="3" t="str">
        <f>IF(OR(D20="",C20="",F20=""),"",IF(D20*C20-F20&gt;=0,D20*C20-F20,""))</f>
        <v/>
      </c>
      <c r="H20" s="2"/>
      <c r="I20" s="3" t="str">
        <f t="shared" si="0"/>
        <v/>
      </c>
      <c r="J20" s="3" t="str">
        <f t="shared" si="1"/>
        <v/>
      </c>
    </row>
    <row r="21" spans="1:11" x14ac:dyDescent="0.35">
      <c r="A21" s="2"/>
      <c r="B21" s="26"/>
      <c r="C21" s="2"/>
      <c r="D21" s="3"/>
      <c r="E21" s="2"/>
      <c r="F21" s="3"/>
      <c r="G21" s="3"/>
      <c r="H21" s="2"/>
      <c r="I21" s="3"/>
      <c r="J21" s="3"/>
    </row>
    <row r="22" spans="1:11" x14ac:dyDescent="0.35">
      <c r="A22" s="2"/>
      <c r="B22" s="26"/>
      <c r="C22" s="2">
        <v>1</v>
      </c>
      <c r="D22" s="3" t="str">
        <f>IFERROR(VLOOKUP(B22,Hoja1!$A$1:$C$18,3,FALSE),"")</f>
        <v/>
      </c>
      <c r="E22" s="2"/>
      <c r="F22" s="3">
        <f>IF(E22&gt;0,D22*C22*E22/100,0)</f>
        <v>0</v>
      </c>
      <c r="G22" s="3" t="str">
        <f>IF(OR(D22="",C22="",F22=""),"",IF(D22*C22-F22&gt;=0,D22*C22-F22,""))</f>
        <v/>
      </c>
      <c r="H22" s="2"/>
      <c r="I22" s="3" t="str">
        <f t="shared" si="0"/>
        <v/>
      </c>
      <c r="J22" s="3" t="str">
        <f t="shared" si="1"/>
        <v/>
      </c>
    </row>
    <row r="23" spans="1:11" x14ac:dyDescent="0.35">
      <c r="A23" s="9">
        <v>1</v>
      </c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 x14ac:dyDescent="0.35">
      <c r="A24" s="6" t="s">
        <v>29</v>
      </c>
      <c r="B24" s="5"/>
      <c r="C24" s="5"/>
      <c r="D24" s="5"/>
      <c r="E24" s="5"/>
      <c r="F24" s="8">
        <f>SUM(G17:G22)</f>
        <v>0</v>
      </c>
      <c r="G24" s="5"/>
      <c r="H24" s="5"/>
      <c r="I24" s="5"/>
      <c r="J24" s="5"/>
      <c r="K24" s="5"/>
    </row>
    <row r="25" spans="1:11" x14ac:dyDescent="0.35">
      <c r="A25" s="6" t="s">
        <v>30</v>
      </c>
      <c r="B25" s="5"/>
      <c r="C25" s="5"/>
      <c r="D25" s="5"/>
      <c r="E25" s="5"/>
      <c r="F25" s="8">
        <f>SUM(F17:F22)</f>
        <v>0</v>
      </c>
      <c r="G25" s="5"/>
      <c r="H25" s="5"/>
      <c r="I25" s="5"/>
      <c r="J25" s="5"/>
      <c r="K25" s="5"/>
    </row>
    <row r="26" spans="1:11" x14ac:dyDescent="0.35">
      <c r="A26" s="6" t="s">
        <v>31</v>
      </c>
      <c r="B26" s="5"/>
      <c r="C26" s="5"/>
      <c r="D26" s="5"/>
      <c r="E26" s="5"/>
      <c r="F26" s="8">
        <f>SUMIF(H17:H22,0,G17:G22)</f>
        <v>0</v>
      </c>
      <c r="G26" s="5"/>
      <c r="H26" s="5"/>
      <c r="I26" s="5"/>
      <c r="J26" s="5"/>
      <c r="K26" s="5"/>
    </row>
    <row r="27" spans="1:11" x14ac:dyDescent="0.35">
      <c r="A27" s="6" t="s">
        <v>32</v>
      </c>
      <c r="B27" s="5"/>
      <c r="C27" s="5"/>
      <c r="D27" s="5"/>
      <c r="E27" s="5"/>
      <c r="F27" s="8">
        <f>SUMIF(H17:H22,5,G17:G22)</f>
        <v>0</v>
      </c>
      <c r="G27" s="5"/>
      <c r="H27" s="5"/>
      <c r="I27" s="5"/>
      <c r="J27" s="5"/>
      <c r="K27" s="5"/>
    </row>
    <row r="28" spans="1:11" x14ac:dyDescent="0.35">
      <c r="A28" s="6" t="s">
        <v>33</v>
      </c>
      <c r="B28" s="5"/>
      <c r="C28" s="5"/>
      <c r="D28" s="5"/>
      <c r="E28" s="5"/>
      <c r="F28" s="8">
        <f>SUMIF(H17:H22,19,G17:G22)</f>
        <v>0</v>
      </c>
      <c r="G28" s="5"/>
      <c r="H28" s="5"/>
      <c r="I28" s="5"/>
      <c r="J28" s="5"/>
      <c r="K28" s="5"/>
    </row>
    <row r="29" spans="1:11" x14ac:dyDescent="0.35">
      <c r="A29" s="6" t="s">
        <v>34</v>
      </c>
      <c r="B29" s="5"/>
      <c r="C29" s="5"/>
      <c r="D29" s="5"/>
      <c r="E29" s="5"/>
      <c r="F29" s="8" t="str" cm="1">
        <f t="array" ref="F29">IFERROR(
   IF(SUM(_xlfn._xlws.FILTER(I16:I21,(H16:H21=5)*(ISNUMBER(I16:I21))*(I16:I21&gt;0)))&gt;0,
      SUMPRODUCT((H16:H21=5)*(I16:I21)),
      "-"),
"-")</f>
        <v>-</v>
      </c>
      <c r="G29" s="5"/>
      <c r="H29" s="5"/>
      <c r="I29" s="5"/>
      <c r="J29" s="5"/>
      <c r="K29" s="5"/>
    </row>
    <row r="30" spans="1:11" x14ac:dyDescent="0.35">
      <c r="A30" s="6" t="s">
        <v>35</v>
      </c>
      <c r="B30" s="5"/>
      <c r="C30" s="5"/>
      <c r="D30" s="5"/>
      <c r="E30" s="5"/>
      <c r="F30" s="8" t="str" cm="1">
        <f t="array" ref="F30">IFERROR(
   IF(SUM(_xlfn._xlws.FILTER(I17:I22,(H17:H22=19)*(ISNUMBER(I17:I22))*(I17:I22&gt;0)))&gt;0,
      SUMPRODUCT((H17:H22=19)*(I17:I22)),
      "-"),
"-")</f>
        <v>-</v>
      </c>
      <c r="G30" s="5"/>
      <c r="H30" s="5"/>
      <c r="I30" s="5"/>
      <c r="J30" s="5"/>
      <c r="K30" s="5"/>
    </row>
    <row r="31" spans="1:11" x14ac:dyDescent="0.35">
      <c r="A31" s="6" t="s">
        <v>36</v>
      </c>
      <c r="B31" s="5"/>
      <c r="C31" s="5"/>
      <c r="D31" s="5"/>
      <c r="E31" s="5"/>
      <c r="F31" s="8">
        <v>0</v>
      </c>
      <c r="G31" s="5"/>
      <c r="H31" s="5"/>
      <c r="I31" s="5"/>
      <c r="J31" s="5"/>
      <c r="K31" s="5"/>
    </row>
    <row r="32" spans="1:11" x14ac:dyDescent="0.35">
      <c r="A32" s="6" t="s">
        <v>37</v>
      </c>
      <c r="B32" s="5"/>
      <c r="C32" s="5"/>
      <c r="D32" s="5"/>
      <c r="E32" s="5"/>
      <c r="F32" s="8">
        <v>0</v>
      </c>
      <c r="G32" s="5"/>
      <c r="H32" s="5"/>
      <c r="I32" s="5"/>
      <c r="J32" s="5"/>
      <c r="K32" s="5"/>
    </row>
    <row r="33" spans="1:11" ht="15.5" x14ac:dyDescent="0.35">
      <c r="A33" s="14" t="s">
        <v>38</v>
      </c>
      <c r="B33" s="5"/>
      <c r="C33" s="5"/>
      <c r="D33" s="5"/>
      <c r="E33" s="5"/>
      <c r="F33" s="16">
        <f>SUM(J17:J22)-F31-F32</f>
        <v>0</v>
      </c>
      <c r="G33" s="5"/>
      <c r="H33" s="5"/>
      <c r="I33" s="5"/>
      <c r="J33" s="5"/>
      <c r="K33" s="5"/>
    </row>
    <row r="35" spans="1:11" x14ac:dyDescent="0.35">
      <c r="A35" s="9" t="s">
        <v>39</v>
      </c>
      <c r="B35" s="5"/>
      <c r="C35" s="5"/>
      <c r="D35" s="5"/>
      <c r="E35" s="5"/>
      <c r="F35" s="5"/>
      <c r="G35" s="5"/>
      <c r="H35" s="5"/>
      <c r="I35" s="5"/>
      <c r="J35" s="5"/>
      <c r="K35" s="5"/>
    </row>
    <row r="36" spans="1:11" x14ac:dyDescent="0.35">
      <c r="A36" s="6" t="s">
        <v>40</v>
      </c>
      <c r="B36" s="5"/>
      <c r="C36" s="7"/>
      <c r="D36" s="5"/>
      <c r="E36" s="5"/>
      <c r="F36" s="5"/>
      <c r="G36" s="5"/>
      <c r="H36" s="5"/>
      <c r="I36" s="5"/>
      <c r="J36" s="5"/>
      <c r="K36" s="5"/>
    </row>
    <row r="37" spans="1:11" x14ac:dyDescent="0.35">
      <c r="A37" s="6" t="s">
        <v>41</v>
      </c>
      <c r="B37" s="5"/>
      <c r="C37" s="11"/>
      <c r="D37" s="5"/>
      <c r="E37" s="5"/>
      <c r="F37" s="5"/>
      <c r="G37" s="5"/>
      <c r="H37" s="5"/>
      <c r="I37" s="5"/>
      <c r="J37" s="5"/>
      <c r="K37" s="5"/>
    </row>
    <row r="38" spans="1:11" x14ac:dyDescent="0.35">
      <c r="C38" s="5"/>
      <c r="D38" s="5"/>
      <c r="E38" s="5"/>
      <c r="F38" s="5"/>
      <c r="G38" s="5"/>
      <c r="H38" s="5"/>
      <c r="I38" s="5"/>
      <c r="J38" s="5"/>
      <c r="K38" s="5"/>
    </row>
    <row r="39" spans="1:11" x14ac:dyDescent="0.35">
      <c r="C39" s="5"/>
      <c r="D39" s="5"/>
      <c r="E39" s="5"/>
      <c r="F39" s="5"/>
      <c r="G39" s="5"/>
      <c r="H39" s="5"/>
      <c r="I39" s="5"/>
      <c r="J39" s="5"/>
      <c r="K39" s="5"/>
    </row>
    <row r="40" spans="1:11" x14ac:dyDescent="0.35">
      <c r="A40" s="6" t="s">
        <v>42</v>
      </c>
      <c r="B40" s="5"/>
      <c r="C40" s="7" t="s">
        <v>65</v>
      </c>
      <c r="D40" s="5"/>
      <c r="E40" s="5"/>
      <c r="F40" s="5"/>
      <c r="G40" s="5"/>
      <c r="H40" s="5"/>
      <c r="I40" s="5"/>
      <c r="J40" s="5"/>
      <c r="K40" s="5"/>
    </row>
    <row r="42" spans="1:11" x14ac:dyDescent="0.35">
      <c r="A42" s="13" t="s">
        <v>65</v>
      </c>
      <c r="B42" s="5"/>
      <c r="C42" s="5"/>
    </row>
    <row r="43" spans="1:11" x14ac:dyDescent="0.35">
      <c r="A43" s="5"/>
      <c r="B43" s="5"/>
      <c r="C43" s="5"/>
    </row>
    <row r="44" spans="1:11" x14ac:dyDescent="0.35">
      <c r="A44" s="5"/>
      <c r="B44" s="5"/>
      <c r="C44" s="5"/>
    </row>
    <row r="45" spans="1:11" x14ac:dyDescent="0.35">
      <c r="A45" s="5"/>
      <c r="B45" s="5"/>
      <c r="C45" s="5"/>
    </row>
    <row r="46" spans="1:11" x14ac:dyDescent="0.35">
      <c r="A46" s="5"/>
      <c r="B46" s="5"/>
      <c r="C46" s="5"/>
    </row>
    <row r="47" spans="1:11" x14ac:dyDescent="0.35">
      <c r="A47" s="15" t="s">
        <v>43</v>
      </c>
      <c r="B47" s="5"/>
      <c r="C47" s="5"/>
      <c r="D47" s="5"/>
      <c r="E47" s="5"/>
      <c r="F47" s="5"/>
      <c r="G47" s="5"/>
      <c r="H47" s="5"/>
      <c r="I47" s="5"/>
      <c r="J47" s="5"/>
      <c r="K47" s="5"/>
    </row>
    <row r="48" spans="1:11" x14ac:dyDescent="0.3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</row>
  </sheetData>
  <mergeCells count="71">
    <mergeCell ref="A47:K48"/>
    <mergeCell ref="A15:K15"/>
    <mergeCell ref="F33:K33"/>
    <mergeCell ref="F27:K27"/>
    <mergeCell ref="A40:B40"/>
    <mergeCell ref="A31:E31"/>
    <mergeCell ref="F25:K25"/>
    <mergeCell ref="A35:K35"/>
    <mergeCell ref="A42:C46"/>
    <mergeCell ref="C13:F13"/>
    <mergeCell ref="F24:K24"/>
    <mergeCell ref="K3"/>
    <mergeCell ref="G9:H9"/>
    <mergeCell ref="A7:B7"/>
    <mergeCell ref="G7:H7"/>
    <mergeCell ref="I14:K14"/>
    <mergeCell ref="F29:K29"/>
    <mergeCell ref="A26:E26"/>
    <mergeCell ref="F32:K32"/>
    <mergeCell ref="C40:K40"/>
    <mergeCell ref="A14:B14"/>
    <mergeCell ref="G14:H14"/>
    <mergeCell ref="A24:E24"/>
    <mergeCell ref="C7:F7"/>
    <mergeCell ref="C37:K39"/>
    <mergeCell ref="G6:H6"/>
    <mergeCell ref="G13:H13"/>
    <mergeCell ref="C14:F14"/>
    <mergeCell ref="A28:E28"/>
    <mergeCell ref="A12:B12"/>
    <mergeCell ref="A27:E27"/>
    <mergeCell ref="I13:K13"/>
    <mergeCell ref="I9:K9"/>
    <mergeCell ref="A6:B6"/>
    <mergeCell ref="A11:K11"/>
    <mergeCell ref="A37:B37"/>
    <mergeCell ref="I12:K12"/>
    <mergeCell ref="G8:H8"/>
    <mergeCell ref="A33:E33"/>
    <mergeCell ref="A8:B8"/>
    <mergeCell ref="A36:B36"/>
    <mergeCell ref="C9:F9"/>
    <mergeCell ref="A23:K23"/>
    <mergeCell ref="F26:K26"/>
    <mergeCell ref="I1:K1"/>
    <mergeCell ref="C6:F6"/>
    <mergeCell ref="I8:K8"/>
    <mergeCell ref="F28:K28"/>
    <mergeCell ref="I3:J3"/>
    <mergeCell ref="A1:C4"/>
    <mergeCell ref="D1:H2"/>
    <mergeCell ref="C8:F8"/>
    <mergeCell ref="A25:E25"/>
    <mergeCell ref="G12:H12"/>
    <mergeCell ref="C10:K10"/>
    <mergeCell ref="I2:K2"/>
    <mergeCell ref="A30:E30"/>
    <mergeCell ref="C36:K36"/>
    <mergeCell ref="A29:E29"/>
    <mergeCell ref="C12:F12"/>
    <mergeCell ref="A10:B10"/>
    <mergeCell ref="A13:B13"/>
    <mergeCell ref="A32:E32"/>
    <mergeCell ref="A9:B9"/>
    <mergeCell ref="F3:H3"/>
    <mergeCell ref="F31:K31"/>
    <mergeCell ref="I7:K7"/>
    <mergeCell ref="D3:E3"/>
    <mergeCell ref="A5:K5"/>
    <mergeCell ref="F30:K30"/>
    <mergeCell ref="I6:K6"/>
  </mergeCells>
  <dataValidations count="1">
    <dataValidation type="list" allowBlank="1" sqref="H17:H22" xr:uid="{00000000-0002-0000-0000-000000000000}">
      <formula1>"0,5,19"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636F186-7619-4EDE-A61B-C791D0980860}">
          <x14:formula1>
            <xm:f>Hoja1!$A$2:$A$18</xm:f>
          </x14:formula1>
          <xm:sqref>B17:B22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3D55E-EE13-4481-B196-C9116E7D9337}">
  <dimension ref="A1:C18"/>
  <sheetViews>
    <sheetView workbookViewId="0">
      <selection activeCell="C2" sqref="C2"/>
    </sheetView>
  </sheetViews>
  <sheetFormatPr baseColWidth="10" defaultRowHeight="14.5" x14ac:dyDescent="0.35"/>
  <cols>
    <col min="1" max="1" width="25.26953125" customWidth="1"/>
    <col min="3" max="3" width="12.7265625" customWidth="1"/>
  </cols>
  <sheetData>
    <row r="1" spans="1:3" x14ac:dyDescent="0.35">
      <c r="A1" s="18" t="s">
        <v>57</v>
      </c>
      <c r="B1" s="22" t="s">
        <v>58</v>
      </c>
      <c r="C1" s="17" t="s">
        <v>59</v>
      </c>
    </row>
    <row r="2" spans="1:3" x14ac:dyDescent="0.35">
      <c r="A2" s="20" t="s">
        <v>44</v>
      </c>
      <c r="B2" s="19">
        <v>40456</v>
      </c>
      <c r="C2" s="21">
        <v>3500</v>
      </c>
    </row>
    <row r="3" spans="1:3" x14ac:dyDescent="0.35">
      <c r="A3" s="20" t="s">
        <v>45</v>
      </c>
      <c r="B3" s="19">
        <v>38477</v>
      </c>
      <c r="C3" s="21">
        <v>2600</v>
      </c>
    </row>
    <row r="4" spans="1:3" x14ac:dyDescent="0.35">
      <c r="A4" s="20" t="s">
        <v>46</v>
      </c>
      <c r="B4" s="19">
        <v>76866</v>
      </c>
      <c r="C4" s="21">
        <v>45000</v>
      </c>
    </row>
    <row r="5" spans="1:3" x14ac:dyDescent="0.35">
      <c r="A5" s="20" t="s">
        <v>47</v>
      </c>
      <c r="B5" s="19">
        <v>66697</v>
      </c>
      <c r="C5" s="21" t="s">
        <v>48</v>
      </c>
    </row>
    <row r="6" spans="1:3" x14ac:dyDescent="0.35">
      <c r="A6" s="20" t="s">
        <v>49</v>
      </c>
      <c r="B6" s="19">
        <v>37657</v>
      </c>
      <c r="C6" s="21">
        <v>24700</v>
      </c>
    </row>
    <row r="7" spans="1:3" x14ac:dyDescent="0.35">
      <c r="A7" s="20" t="s">
        <v>50</v>
      </c>
      <c r="B7" s="19">
        <v>54455</v>
      </c>
      <c r="C7" s="21">
        <v>1000</v>
      </c>
    </row>
    <row r="8" spans="1:3" x14ac:dyDescent="0.35">
      <c r="A8" s="20" t="s">
        <v>51</v>
      </c>
      <c r="B8" s="19">
        <v>56722</v>
      </c>
      <c r="C8" s="21">
        <v>25000</v>
      </c>
    </row>
    <row r="9" spans="1:3" x14ac:dyDescent="0.35">
      <c r="A9" s="20" t="s">
        <v>52</v>
      </c>
      <c r="B9" s="19">
        <v>22846</v>
      </c>
      <c r="C9" s="21">
        <v>17000</v>
      </c>
    </row>
    <row r="10" spans="1:3" x14ac:dyDescent="0.35">
      <c r="A10" s="20" t="s">
        <v>53</v>
      </c>
      <c r="B10" s="19">
        <v>10942</v>
      </c>
      <c r="C10" s="21">
        <v>1000</v>
      </c>
    </row>
    <row r="11" spans="1:3" x14ac:dyDescent="0.35">
      <c r="A11" s="20" t="s">
        <v>54</v>
      </c>
      <c r="B11" s="19">
        <v>63215</v>
      </c>
      <c r="C11" s="21">
        <v>25000</v>
      </c>
    </row>
    <row r="12" spans="1:3" x14ac:dyDescent="0.35">
      <c r="A12" s="20" t="s">
        <v>55</v>
      </c>
      <c r="B12" s="19">
        <v>35269</v>
      </c>
      <c r="C12" s="21">
        <v>7800</v>
      </c>
    </row>
    <row r="13" spans="1:3" x14ac:dyDescent="0.35">
      <c r="A13" s="23" t="s">
        <v>56</v>
      </c>
      <c r="B13" s="24">
        <v>48590</v>
      </c>
      <c r="C13" s="25">
        <v>8600</v>
      </c>
    </row>
    <row r="14" spans="1:3" x14ac:dyDescent="0.35">
      <c r="A14" s="20" t="s">
        <v>60</v>
      </c>
      <c r="B14" s="19">
        <v>22793</v>
      </c>
      <c r="C14" s="21">
        <v>3800</v>
      </c>
    </row>
    <row r="15" spans="1:3" x14ac:dyDescent="0.35">
      <c r="A15" s="20" t="s">
        <v>61</v>
      </c>
      <c r="B15" s="19">
        <v>48320</v>
      </c>
      <c r="C15" s="21">
        <v>41000</v>
      </c>
    </row>
    <row r="16" spans="1:3" x14ac:dyDescent="0.35">
      <c r="A16" s="20" t="s">
        <v>62</v>
      </c>
      <c r="B16" s="19">
        <v>32214</v>
      </c>
      <c r="C16" s="21">
        <v>42000</v>
      </c>
    </row>
    <row r="17" spans="1:3" x14ac:dyDescent="0.35">
      <c r="A17" s="20" t="s">
        <v>63</v>
      </c>
      <c r="B17" s="19">
        <v>9641</v>
      </c>
      <c r="C17" s="21">
        <v>7800</v>
      </c>
    </row>
    <row r="18" spans="1:3" x14ac:dyDescent="0.35">
      <c r="A18" s="23" t="s">
        <v>64</v>
      </c>
      <c r="B18" s="24">
        <v>47267</v>
      </c>
      <c r="C18" s="25">
        <v>7600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Factura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Mario Andrés Tirado</cp:lastModifiedBy>
  <dcterms:created xsi:type="dcterms:W3CDTF">2025-05-25T23:19:29Z</dcterms:created>
  <dcterms:modified xsi:type="dcterms:W3CDTF">2025-06-04T06:02:29Z</dcterms:modified>
</cp:coreProperties>
</file>